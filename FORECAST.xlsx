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8_{AFE37A30-B8FC-4605-B283-DBCB3AFD70CA}" xr6:coauthVersionLast="47" xr6:coauthVersionMax="47" xr10:uidLastSave="{00000000-0000-0000-0000-000000000000}"/>
  <bookViews>
    <workbookView xWindow="-108" yWindow="-108" windowWidth="23256" windowHeight="12456" activeTab="2" xr2:uid="{A1D68B9D-BF47-4E46-9DD3-51DC7F59FD1D}"/>
  </bookViews>
  <sheets>
    <sheet name="Forecast" sheetId="1" r:id="rId1"/>
    <sheet name="Data by charts" sheetId="2" r:id="rId2"/>
    <sheet name="Forecast she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0" i="2" l="1"/>
  <c r="C19" i="1"/>
  <c r="C18" i="3"/>
  <c r="C24" i="3"/>
  <c r="C19" i="3"/>
  <c r="C20" i="3"/>
  <c r="C21" i="3"/>
  <c r="C22" i="3"/>
  <c r="C17" i="3"/>
  <c r="C23" i="3"/>
  <c r="E23" i="3"/>
  <c r="D21" i="3"/>
  <c r="E24" i="3"/>
  <c r="E20" i="3"/>
  <c r="D18" i="3"/>
  <c r="E17" i="3"/>
  <c r="D20" i="3"/>
  <c r="E18" i="3"/>
  <c r="D22" i="3"/>
  <c r="D19" i="3"/>
  <c r="E22" i="3"/>
  <c r="E19" i="3"/>
  <c r="D23" i="3"/>
  <c r="E21" i="3"/>
  <c r="D24" i="3"/>
  <c r="D17" i="3"/>
</calcChain>
</file>

<file path=xl/sharedStrings.xml><?xml version="1.0" encoding="utf-8"?>
<sst xmlns="http://schemas.openxmlformats.org/spreadsheetml/2006/main" count="12" uniqueCount="12">
  <si>
    <t>Year</t>
  </si>
  <si>
    <t>Salary</t>
  </si>
  <si>
    <t>FORECAST</t>
  </si>
  <si>
    <t>Syntax</t>
  </si>
  <si>
    <t>Forecast(x,known y,known x)</t>
  </si>
  <si>
    <t>Return</t>
  </si>
  <si>
    <t>Calculate or predict future value using existing values.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</si>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</sst>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5"/>
            <c:dispRSqr val="0"/>
            <c:dispEq val="0"/>
          </c:trendline>
          <c:xVal>
            <c:numRef>
              <c:f>'Data by charts'!$AB$3:$AB$17</c:f>
              <c:numCache>
                <c:formatCode>General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xVal>
          <c:yVal>
            <c:numRef>
              <c:f>'Data by charts'!$AC$3:$AC$17</c:f>
              <c:numCache>
                <c:formatCode>General</c:formatCode>
                <c:ptCount val="15"/>
                <c:pt idx="0">
                  <c:v>100</c:v>
                </c:pt>
                <c:pt idx="1">
                  <c:v>120</c:v>
                </c:pt>
                <c:pt idx="2">
                  <c:v>145</c:v>
                </c:pt>
                <c:pt idx="3">
                  <c:v>167</c:v>
                </c:pt>
                <c:pt idx="4">
                  <c:v>234</c:v>
                </c:pt>
                <c:pt idx="5">
                  <c:v>378</c:v>
                </c:pt>
                <c:pt idx="6">
                  <c:v>489</c:v>
                </c:pt>
                <c:pt idx="7">
                  <c:v>689</c:v>
                </c:pt>
                <c:pt idx="8">
                  <c:v>1267</c:v>
                </c:pt>
                <c:pt idx="9">
                  <c:v>1567</c:v>
                </c:pt>
                <c:pt idx="10">
                  <c:v>1892</c:v>
                </c:pt>
                <c:pt idx="11">
                  <c:v>1999</c:v>
                </c:pt>
                <c:pt idx="12">
                  <c:v>2784</c:v>
                </c:pt>
                <c:pt idx="13">
                  <c:v>2889</c:v>
                </c:pt>
                <c:pt idx="14">
                  <c:v>7489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6-4BB9-A38C-437ECA5BF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864767"/>
        <c:axId val="1955866207"/>
      </c:scatterChart>
      <c:valAx>
        <c:axId val="195586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6207"/>
        <c:crosses val="autoZero"/>
        <c:crossBetween val="midCat"/>
      </c:valAx>
      <c:valAx>
        <c:axId val="195586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22211897425862E-2"/>
          <c:y val="1.9021713194941541E-2"/>
          <c:w val="0.91942172445835579"/>
          <c:h val="0.802343252547977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sheets'!$B$1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sheets'!$B$2:$B$24</c:f>
              <c:numCache>
                <c:formatCode>General</c:formatCode>
                <c:ptCount val="23"/>
                <c:pt idx="0">
                  <c:v>100</c:v>
                </c:pt>
                <c:pt idx="1">
                  <c:v>120</c:v>
                </c:pt>
                <c:pt idx="2">
                  <c:v>145</c:v>
                </c:pt>
                <c:pt idx="3">
                  <c:v>167</c:v>
                </c:pt>
                <c:pt idx="4">
                  <c:v>234</c:v>
                </c:pt>
                <c:pt idx="5">
                  <c:v>378</c:v>
                </c:pt>
                <c:pt idx="6">
                  <c:v>489</c:v>
                </c:pt>
                <c:pt idx="7">
                  <c:v>689</c:v>
                </c:pt>
                <c:pt idx="8">
                  <c:v>1267</c:v>
                </c:pt>
                <c:pt idx="9">
                  <c:v>1567</c:v>
                </c:pt>
                <c:pt idx="10">
                  <c:v>1892</c:v>
                </c:pt>
                <c:pt idx="11">
                  <c:v>1999</c:v>
                </c:pt>
                <c:pt idx="12">
                  <c:v>2784</c:v>
                </c:pt>
                <c:pt idx="13">
                  <c:v>2889</c:v>
                </c:pt>
                <c:pt idx="14">
                  <c:v>7489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3-4303-B7A2-5E29535B1E4D}"/>
            </c:ext>
          </c:extLst>
        </c:ser>
        <c:ser>
          <c:idx val="1"/>
          <c:order val="1"/>
          <c:tx>
            <c:strRef>
              <c:f>'Forecast sheets'!$C$1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sheets'!$A$2:$A$24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'Forecast sheets'!$C$2:$C$24</c:f>
              <c:numCache>
                <c:formatCode>General</c:formatCode>
                <c:ptCount val="23"/>
                <c:pt idx="14">
                  <c:v>7489</c:v>
                </c:pt>
                <c:pt idx="15">
                  <c:v>7835.392857142856</c:v>
                </c:pt>
                <c:pt idx="16">
                  <c:v>8181.7857142857156</c:v>
                </c:pt>
                <c:pt idx="17">
                  <c:v>8528.1785714285725</c:v>
                </c:pt>
                <c:pt idx="18">
                  <c:v>8874.5714285714294</c:v>
                </c:pt>
                <c:pt idx="19">
                  <c:v>9220.9642857142862</c:v>
                </c:pt>
                <c:pt idx="20">
                  <c:v>9567.3571428571431</c:v>
                </c:pt>
                <c:pt idx="21">
                  <c:v>9913.75</c:v>
                </c:pt>
                <c:pt idx="22">
                  <c:v>10260.142857142857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3-4303-B7A2-5E29535B1E4D}"/>
            </c:ext>
          </c:extLst>
        </c:ser>
        <c:ser>
          <c:idx val="2"/>
          <c:order val="2"/>
          <c:tx>
            <c:strRef>
              <c:f>'Forecast sheets'!$D$1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sheets'!$A$2:$A$24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'Forecast sheets'!$D$2:$D$24</c:f>
              <c:numCache>
                <c:formatCode>General</c:formatCode>
                <c:ptCount val="23"/>
                <c:pt idx="14" formatCode="0.00">
                  <c:v>7489</c:v>
                </c:pt>
                <c:pt idx="15" formatCode="0.00">
                  <c:v>6182.9681101588594</c:v>
                </c:pt>
                <c:pt idx="16" formatCode="0.00">
                  <c:v>5957.5698300844488</c:v>
                </c:pt>
                <c:pt idx="17" formatCode="0.00">
                  <c:v>5850.737972699264</c:v>
                </c:pt>
                <c:pt idx="18" formatCode="0.00">
                  <c:v>5809.4175032305793</c:v>
                </c:pt>
                <c:pt idx="19" formatCode="0.00">
                  <c:v>5811.1867211987228</c:v>
                </c:pt>
                <c:pt idx="20" formatCode="0.00">
                  <c:v>5844.0606221563194</c:v>
                </c:pt>
                <c:pt idx="21" formatCode="0.00">
                  <c:v>5900.7416681104423</c:v>
                </c:pt>
                <c:pt idx="22" formatCode="0.00">
                  <c:v>5976.3962291610787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3-4303-B7A2-5E29535B1E4D}"/>
            </c:ext>
          </c:extLst>
        </c:ser>
        <c:ser>
          <c:idx val="3"/>
          <c:order val="3"/>
          <c:tx>
            <c:strRef>
              <c:f>'Forecast sheets'!$E$1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sheets'!$A$2:$A$24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'Forecast sheets'!$E$2:$E$24</c:f>
              <c:numCache>
                <c:formatCode>General</c:formatCode>
                <c:ptCount val="23"/>
                <c:pt idx="14" formatCode="0.00">
                  <c:v>7489</c:v>
                </c:pt>
                <c:pt idx="15" formatCode="0.00">
                  <c:v>9487.8176041268525</c:v>
                </c:pt>
                <c:pt idx="16" formatCode="0.00">
                  <c:v>10406.001598486982</c:v>
                </c:pt>
                <c:pt idx="17" formatCode="0.00">
                  <c:v>11205.619170157881</c:v>
                </c:pt>
                <c:pt idx="18" formatCode="0.00">
                  <c:v>11939.725353912279</c:v>
                </c:pt>
                <c:pt idx="19" formatCode="0.00">
                  <c:v>12630.74185022985</c:v>
                </c:pt>
                <c:pt idx="20" formatCode="0.00">
                  <c:v>13290.653663557967</c:v>
                </c:pt>
                <c:pt idx="21" formatCode="0.00">
                  <c:v>13926.758331889558</c:v>
                </c:pt>
                <c:pt idx="22" formatCode="0.00">
                  <c:v>14543.889485124635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93-4303-B7A2-5E29535B1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437263"/>
        <c:axId val="1789436303"/>
      </c:lineChart>
      <c:catAx>
        <c:axId val="17894372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436303"/>
        <c:crosses val="autoZero"/>
        <c:auto val="1"/>
        <c:lblAlgn val="ctr"/>
        <c:lblOffset val="100"/>
        <c:noMultiLvlLbl val="0"/>
      </c:catAx>
      <c:valAx>
        <c:axId val="17894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43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415413</xdr:colOff>
      <xdr:row>1</xdr:row>
      <xdr:rowOff>34413</xdr:rowOff>
    </xdr:from>
    <xdr:to>
      <xdr:col>38</xdr:col>
      <xdr:colOff>110613</xdr:colOff>
      <xdr:row>16</xdr:row>
      <xdr:rowOff>49162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96158F-7B51-91F7-D419-F0950F82E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3</xdr:row>
      <xdr:rowOff>19050</xdr:rowOff>
    </xdr:from>
    <xdr:to>
      <xdr:col>20</xdr:col>
      <xdr:colOff>581025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130F5-4BAE-93CC-CAE5-9D74104E5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1E545-7107-468E-B2C4-FC29B7DEA7DB}" name="Table1" displayName="Table1" ref="A1:E24" totalsRowShown="0">
  <autoFilter ref="A1:E24" xr:uid="{47B1E545-7107-468E-B2C4-FC29B7DEA7DB}"/>
  <tableColumns count="5">
    <tableColumn id="1" xr3:uid="{9237C485-BDF9-4F35-9020-38B36A3500C1}" name="Timeline"/>
    <tableColumn id="2" xr3:uid="{3CBDE9B5-45C8-4463-BAB2-C5038629F59C}" name="Values"/>
    <tableColumn id="3" xr3:uid="{F00EF885-2862-4A72-B9AF-DC94B3B265BA}" name="Forecast">
      <calculatedColumnFormula>_xlfn.FORECAST.ETS(A2,$B$2:$B$16,$A$2:$A$16,1,1)</calculatedColumnFormula>
    </tableColumn>
    <tableColumn id="4" xr3:uid="{7904810E-734C-44F6-9133-4050771E2059}" name="Lower Confidence Bound" dataDxfId="1">
      <calculatedColumnFormula>C2-_xlfn.FORECAST.ETS.CONFINT(A2,$B$2:$B$16,$A$2:$A$16,0.85,1,1)</calculatedColumnFormula>
    </tableColumn>
    <tableColumn id="5" xr3:uid="{AD19BE88-B459-43A6-8C6C-D25CEE14C9AB}" name="Upper Confidence Bound" dataDxfId="0">
      <calculatedColumnFormula>C2+_xlfn.FORECAST.ETS.CONFINT(A2,$B$2:$B$16,$A$2:$A$16,0.85,1,1)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0335-6910-4714-B616-23090062F19A}">
  <dimension ref="A1:F19"/>
  <sheetViews>
    <sheetView topLeftCell="A7" zoomScale="186" zoomScaleNormal="186" workbookViewId="0">
      <selection activeCell="A2" sqref="A2:B16"/>
    </sheetView>
  </sheetViews>
  <sheetFormatPr defaultRowHeight="14.4" x14ac:dyDescent="0.3"/>
  <cols>
    <col min="5" max="5" width="6.44140625" bestFit="1" customWidth="1"/>
    <col min="6" max="6" width="45.77734375" bestFit="1" customWidth="1"/>
  </cols>
  <sheetData>
    <row r="1" spans="1:6" x14ac:dyDescent="0.3">
      <c r="A1" s="2" t="s">
        <v>0</v>
      </c>
      <c r="B1" s="2" t="s">
        <v>1</v>
      </c>
    </row>
    <row r="2" spans="1:6" x14ac:dyDescent="0.3">
      <c r="A2">
        <v>2001</v>
      </c>
      <c r="B2">
        <v>100</v>
      </c>
    </row>
    <row r="3" spans="1:6" x14ac:dyDescent="0.3">
      <c r="A3">
        <v>2002</v>
      </c>
      <c r="B3">
        <v>120</v>
      </c>
    </row>
    <row r="4" spans="1:6" x14ac:dyDescent="0.3">
      <c r="A4">
        <v>2003</v>
      </c>
      <c r="B4">
        <v>145</v>
      </c>
    </row>
    <row r="5" spans="1:6" x14ac:dyDescent="0.3">
      <c r="A5">
        <v>2004</v>
      </c>
      <c r="B5">
        <v>167</v>
      </c>
    </row>
    <row r="6" spans="1:6" x14ac:dyDescent="0.3">
      <c r="A6">
        <v>2005</v>
      </c>
      <c r="B6">
        <v>234</v>
      </c>
    </row>
    <row r="7" spans="1:6" x14ac:dyDescent="0.3">
      <c r="A7">
        <v>2006</v>
      </c>
      <c r="B7">
        <v>378</v>
      </c>
    </row>
    <row r="8" spans="1:6" x14ac:dyDescent="0.3">
      <c r="A8">
        <v>2007</v>
      </c>
      <c r="B8">
        <v>489</v>
      </c>
    </row>
    <row r="9" spans="1:6" x14ac:dyDescent="0.3">
      <c r="A9">
        <v>2008</v>
      </c>
      <c r="B9">
        <v>689</v>
      </c>
    </row>
    <row r="10" spans="1:6" x14ac:dyDescent="0.3">
      <c r="A10">
        <v>2009</v>
      </c>
      <c r="B10">
        <v>1267</v>
      </c>
    </row>
    <row r="11" spans="1:6" x14ac:dyDescent="0.3">
      <c r="A11">
        <v>2010</v>
      </c>
      <c r="B11">
        <v>1567</v>
      </c>
    </row>
    <row r="12" spans="1:6" x14ac:dyDescent="0.3">
      <c r="A12">
        <v>2011</v>
      </c>
      <c r="B12">
        <v>1892</v>
      </c>
      <c r="E12" s="1" t="s">
        <v>3</v>
      </c>
      <c r="F12" t="s">
        <v>4</v>
      </c>
    </row>
    <row r="13" spans="1:6" x14ac:dyDescent="0.3">
      <c r="A13">
        <v>2012</v>
      </c>
      <c r="B13">
        <v>1999</v>
      </c>
      <c r="E13" s="1" t="s">
        <v>5</v>
      </c>
      <c r="F13" t="s">
        <v>6</v>
      </c>
    </row>
    <row r="14" spans="1:6" x14ac:dyDescent="0.3">
      <c r="A14">
        <v>2013</v>
      </c>
      <c r="B14">
        <v>2784</v>
      </c>
    </row>
    <row r="15" spans="1:6" x14ac:dyDescent="0.3">
      <c r="A15">
        <v>2014</v>
      </c>
      <c r="B15">
        <v>2889</v>
      </c>
    </row>
    <row r="16" spans="1:6" x14ac:dyDescent="0.3">
      <c r="A16">
        <v>2015</v>
      </c>
      <c r="B16">
        <v>7489</v>
      </c>
    </row>
    <row r="19" spans="1:3" x14ac:dyDescent="0.3">
      <c r="A19" s="1" t="s">
        <v>2</v>
      </c>
      <c r="B19">
        <v>2040</v>
      </c>
      <c r="C19">
        <f>FORECAST(B19,B2:B16,A2:A16)</f>
        <v>12565.171428571455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32E-F8B5-4423-BC40-E179F5972604}">
  <dimension ref="A1:AC20"/>
  <sheetViews>
    <sheetView topLeftCell="AB1" zoomScale="155" zoomScaleNormal="155" workbookViewId="0">
      <selection activeCell="AM16" sqref="AM16"/>
    </sheetView>
  </sheetViews>
  <sheetFormatPr defaultRowHeight="14.4" x14ac:dyDescent="0.3"/>
  <sheetData>
    <row r="1" spans="1:29" x14ac:dyDescent="0.3">
      <c r="A1">
        <v>2016</v>
      </c>
    </row>
    <row r="3" spans="1:29" x14ac:dyDescent="0.3">
      <c r="AB3">
        <v>2001</v>
      </c>
      <c r="AC3">
        <v>100</v>
      </c>
    </row>
    <row r="4" spans="1:29" x14ac:dyDescent="0.3">
      <c r="AB4">
        <v>2002</v>
      </c>
      <c r="AC4">
        <v>120</v>
      </c>
    </row>
    <row r="5" spans="1:29" x14ac:dyDescent="0.3">
      <c r="AB5">
        <v>2003</v>
      </c>
      <c r="AC5">
        <v>145</v>
      </c>
    </row>
    <row r="6" spans="1:29" x14ac:dyDescent="0.3">
      <c r="AB6">
        <v>2004</v>
      </c>
      <c r="AC6">
        <v>167</v>
      </c>
    </row>
    <row r="7" spans="1:29" x14ac:dyDescent="0.3">
      <c r="AB7">
        <v>2005</v>
      </c>
      <c r="AC7">
        <v>234</v>
      </c>
    </row>
    <row r="8" spans="1:29" x14ac:dyDescent="0.3">
      <c r="AB8">
        <v>2006</v>
      </c>
      <c r="AC8">
        <v>378</v>
      </c>
    </row>
    <row r="9" spans="1:29" x14ac:dyDescent="0.3">
      <c r="AB9">
        <v>2007</v>
      </c>
      <c r="AC9">
        <v>489</v>
      </c>
    </row>
    <row r="10" spans="1:29" x14ac:dyDescent="0.3">
      <c r="AB10">
        <v>2008</v>
      </c>
      <c r="AC10">
        <v>689</v>
      </c>
    </row>
    <row r="11" spans="1:29" x14ac:dyDescent="0.3">
      <c r="AB11">
        <v>2009</v>
      </c>
      <c r="AC11">
        <v>1267</v>
      </c>
    </row>
    <row r="12" spans="1:29" x14ac:dyDescent="0.3">
      <c r="AB12">
        <v>2010</v>
      </c>
      <c r="AC12">
        <v>1567</v>
      </c>
    </row>
    <row r="13" spans="1:29" x14ac:dyDescent="0.3">
      <c r="AB13">
        <v>2011</v>
      </c>
      <c r="AC13">
        <v>1892</v>
      </c>
    </row>
    <row r="14" spans="1:29" x14ac:dyDescent="0.3">
      <c r="AB14">
        <v>2012</v>
      </c>
      <c r="AC14">
        <v>1999</v>
      </c>
    </row>
    <row r="15" spans="1:29" x14ac:dyDescent="0.3">
      <c r="AB15">
        <v>2013</v>
      </c>
      <c r="AC15">
        <v>2784</v>
      </c>
    </row>
    <row r="16" spans="1:29" x14ac:dyDescent="0.3">
      <c r="AB16">
        <v>2014</v>
      </c>
      <c r="AC16">
        <v>2889</v>
      </c>
    </row>
    <row r="17" spans="28:29" x14ac:dyDescent="0.3">
      <c r="AB17">
        <v>2015</v>
      </c>
      <c r="AC17">
        <v>7489</v>
      </c>
    </row>
    <row r="20" spans="28:29" x14ac:dyDescent="0.3">
      <c r="AB20">
        <f>FORECAST(2025,AC3:AC17,AB3:AB17)</f>
        <v>7369.2785714286147</v>
      </c>
    </row>
  </sheetData>
  <dataConsolidate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6B2-7213-4BAD-9A32-803DCF032B98}">
  <dimension ref="A1:E24"/>
  <sheetViews>
    <sheetView tabSelected="1" workbookViewId="0">
      <selection activeCell="H22" sqref="H22"/>
    </sheetView>
  </sheetViews>
  <sheetFormatPr defaultRowHeight="14.4" x14ac:dyDescent="0.3"/>
  <cols>
    <col min="1" max="1" width="10" customWidth="1"/>
    <col min="3" max="3" width="9.88671875" customWidth="1"/>
    <col min="4" max="4" width="24" customWidth="1"/>
    <col min="5" max="5" width="24.1093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>
        <v>2001</v>
      </c>
      <c r="B2">
        <v>100</v>
      </c>
    </row>
    <row r="3" spans="1:5" x14ac:dyDescent="0.3">
      <c r="A3">
        <v>2002</v>
      </c>
      <c r="B3">
        <v>120</v>
      </c>
    </row>
    <row r="4" spans="1:5" x14ac:dyDescent="0.3">
      <c r="A4">
        <v>2003</v>
      </c>
      <c r="B4">
        <v>145</v>
      </c>
    </row>
    <row r="5" spans="1:5" x14ac:dyDescent="0.3">
      <c r="A5">
        <v>2004</v>
      </c>
      <c r="B5">
        <v>167</v>
      </c>
    </row>
    <row r="6" spans="1:5" x14ac:dyDescent="0.3">
      <c r="A6">
        <v>2005</v>
      </c>
      <c r="B6">
        <v>234</v>
      </c>
    </row>
    <row r="7" spans="1:5" x14ac:dyDescent="0.3">
      <c r="A7">
        <v>2006</v>
      </c>
      <c r="B7">
        <v>378</v>
      </c>
    </row>
    <row r="8" spans="1:5" x14ac:dyDescent="0.3">
      <c r="A8">
        <v>2007</v>
      </c>
      <c r="B8">
        <v>489</v>
      </c>
    </row>
    <row r="9" spans="1:5" x14ac:dyDescent="0.3">
      <c r="A9">
        <v>2008</v>
      </c>
      <c r="B9">
        <v>689</v>
      </c>
    </row>
    <row r="10" spans="1:5" x14ac:dyDescent="0.3">
      <c r="A10">
        <v>2009</v>
      </c>
      <c r="B10">
        <v>1267</v>
      </c>
    </row>
    <row r="11" spans="1:5" x14ac:dyDescent="0.3">
      <c r="A11">
        <v>2010</v>
      </c>
      <c r="B11">
        <v>1567</v>
      </c>
    </row>
    <row r="12" spans="1:5" x14ac:dyDescent="0.3">
      <c r="A12">
        <v>2011</v>
      </c>
      <c r="B12">
        <v>1892</v>
      </c>
    </row>
    <row r="13" spans="1:5" x14ac:dyDescent="0.3">
      <c r="A13">
        <v>2012</v>
      </c>
      <c r="B13">
        <v>1999</v>
      </c>
    </row>
    <row r="14" spans="1:5" x14ac:dyDescent="0.3">
      <c r="A14">
        <v>2013</v>
      </c>
      <c r="B14">
        <v>2784</v>
      </c>
    </row>
    <row r="15" spans="1:5" x14ac:dyDescent="0.3">
      <c r="A15">
        <v>2014</v>
      </c>
      <c r="B15">
        <v>2889</v>
      </c>
    </row>
    <row r="16" spans="1:5" x14ac:dyDescent="0.3">
      <c r="A16">
        <v>2015</v>
      </c>
      <c r="B16">
        <v>7489</v>
      </c>
      <c r="C16">
        <v>7489</v>
      </c>
      <c r="D16" s="3">
        <v>7489</v>
      </c>
      <c r="E16" s="3">
        <v>7489</v>
      </c>
    </row>
    <row r="17" spans="1:5" x14ac:dyDescent="0.3">
      <c r="A17">
        <v>2016</v>
      </c>
      <c r="C17">
        <f>_xlfn.FORECAST.ETS(A17,$B$2:$B$16,$A$2:$A$16,1,1)</f>
        <v>7835.392857142856</v>
      </c>
      <c r="D17" s="3">
        <f>C17-_xlfn.FORECAST.ETS.CONFINT(A17,$B$2:$B$16,$A$2:$A$16,0.85,1,1)</f>
        <v>6182.9681101588594</v>
      </c>
      <c r="E17" s="3">
        <f>C17+_xlfn.FORECAST.ETS.CONFINT(A17,$B$2:$B$16,$A$2:$A$16,0.85,1,1)</f>
        <v>9487.8176041268525</v>
      </c>
    </row>
    <row r="18" spans="1:5" x14ac:dyDescent="0.3">
      <c r="A18">
        <v>2017</v>
      </c>
      <c r="C18">
        <f>_xlfn.FORECAST.ETS(A18,$B$2:$B$16,$A$2:$A$16,1,1)</f>
        <v>8181.7857142857156</v>
      </c>
      <c r="D18" s="3">
        <f>C18-_xlfn.FORECAST.ETS.CONFINT(A18,$B$2:$B$16,$A$2:$A$16,0.85,1,1)</f>
        <v>5957.5698300844488</v>
      </c>
      <c r="E18" s="3">
        <f>C18+_xlfn.FORECAST.ETS.CONFINT(A18,$B$2:$B$16,$A$2:$A$16,0.85,1,1)</f>
        <v>10406.001598486982</v>
      </c>
    </row>
    <row r="19" spans="1:5" x14ac:dyDescent="0.3">
      <c r="A19">
        <v>2018</v>
      </c>
      <c r="C19">
        <f>_xlfn.FORECAST.ETS(A19,$B$2:$B$16,$A$2:$A$16,1,1)</f>
        <v>8528.1785714285725</v>
      </c>
      <c r="D19" s="3">
        <f>C19-_xlfn.FORECAST.ETS.CONFINT(A19,$B$2:$B$16,$A$2:$A$16,0.85,1,1)</f>
        <v>5850.737972699264</v>
      </c>
      <c r="E19" s="3">
        <f>C19+_xlfn.FORECAST.ETS.CONFINT(A19,$B$2:$B$16,$A$2:$A$16,0.85,1,1)</f>
        <v>11205.619170157881</v>
      </c>
    </row>
    <row r="20" spans="1:5" x14ac:dyDescent="0.3">
      <c r="A20">
        <v>2019</v>
      </c>
      <c r="C20">
        <f>_xlfn.FORECAST.ETS(A20,$B$2:$B$16,$A$2:$A$16,1,1)</f>
        <v>8874.5714285714294</v>
      </c>
      <c r="D20" s="3">
        <f>C20-_xlfn.FORECAST.ETS.CONFINT(A20,$B$2:$B$16,$A$2:$A$16,0.85,1,1)</f>
        <v>5809.4175032305793</v>
      </c>
      <c r="E20" s="3">
        <f>C20+_xlfn.FORECAST.ETS.CONFINT(A20,$B$2:$B$16,$A$2:$A$16,0.85,1,1)</f>
        <v>11939.725353912279</v>
      </c>
    </row>
    <row r="21" spans="1:5" x14ac:dyDescent="0.3">
      <c r="A21">
        <v>2020</v>
      </c>
      <c r="C21">
        <f>_xlfn.FORECAST.ETS(A21,$B$2:$B$16,$A$2:$A$16,1,1)</f>
        <v>9220.9642857142862</v>
      </c>
      <c r="D21" s="3">
        <f>C21-_xlfn.FORECAST.ETS.CONFINT(A21,$B$2:$B$16,$A$2:$A$16,0.85,1,1)</f>
        <v>5811.1867211987228</v>
      </c>
      <c r="E21" s="3">
        <f>C21+_xlfn.FORECAST.ETS.CONFINT(A21,$B$2:$B$16,$A$2:$A$16,0.85,1,1)</f>
        <v>12630.74185022985</v>
      </c>
    </row>
    <row r="22" spans="1:5" x14ac:dyDescent="0.3">
      <c r="A22">
        <v>2021</v>
      </c>
      <c r="C22">
        <f>_xlfn.FORECAST.ETS(A22,$B$2:$B$16,$A$2:$A$16,1,1)</f>
        <v>9567.3571428571431</v>
      </c>
      <c r="D22" s="3">
        <f>C22-_xlfn.FORECAST.ETS.CONFINT(A22,$B$2:$B$16,$A$2:$A$16,0.85,1,1)</f>
        <v>5844.0606221563194</v>
      </c>
      <c r="E22" s="3">
        <f>C22+_xlfn.FORECAST.ETS.CONFINT(A22,$B$2:$B$16,$A$2:$A$16,0.85,1,1)</f>
        <v>13290.653663557967</v>
      </c>
    </row>
    <row r="23" spans="1:5" x14ac:dyDescent="0.3">
      <c r="A23">
        <v>2022</v>
      </c>
      <c r="C23">
        <f>_xlfn.FORECAST.ETS(A23,$B$2:$B$16,$A$2:$A$16,1,1)</f>
        <v>9913.75</v>
      </c>
      <c r="D23" s="3">
        <f>C23-_xlfn.FORECAST.ETS.CONFINT(A23,$B$2:$B$16,$A$2:$A$16,0.85,1,1)</f>
        <v>5900.7416681104423</v>
      </c>
      <c r="E23" s="3">
        <f>C23+_xlfn.FORECAST.ETS.CONFINT(A23,$B$2:$B$16,$A$2:$A$16,0.85,1,1)</f>
        <v>13926.758331889558</v>
      </c>
    </row>
    <row r="24" spans="1:5" x14ac:dyDescent="0.3">
      <c r="A24">
        <v>2023</v>
      </c>
      <c r="C24">
        <f>_xlfn.FORECAST.ETS(A24,$B$2:$B$16,$A$2:$A$16,1,1)</f>
        <v>10260.142857142857</v>
      </c>
      <c r="D24" s="3">
        <f>C24-_xlfn.FORECAST.ETS.CONFINT(A24,$B$2:$B$16,$A$2:$A$16,0.85,1,1)</f>
        <v>5976.3962291610787</v>
      </c>
      <c r="E24" s="3">
        <f>C24+_xlfn.FORECAST.ETS.CONFINT(A24,$B$2:$B$16,$A$2:$A$16,0.85,1,1)</f>
        <v>14543.889485124635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</vt:lpstr>
      <vt:lpstr>Data by charts</vt:lpstr>
      <vt:lpstr>Forecast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D</dc:creator>
  <cp:lastModifiedBy>Anjali D</cp:lastModifiedBy>
  <dcterms:created xsi:type="dcterms:W3CDTF">2025-06-08T12:05:13Z</dcterms:created>
  <dcterms:modified xsi:type="dcterms:W3CDTF">2025-06-08T13:02:24Z</dcterms:modified>
</cp:coreProperties>
</file>